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mano\Downloads\"/>
    </mc:Choice>
  </mc:AlternateContent>
  <xr:revisionPtr revIDLastSave="0" documentId="13_ncr:1_{DB7EE861-AC47-4362-95F7-8DCFC01ECC4F}" xr6:coauthVersionLast="47" xr6:coauthVersionMax="47" xr10:uidLastSave="{00000000-0000-0000-0000-000000000000}"/>
  <bookViews>
    <workbookView xWindow="-120" yWindow="-120" windowWidth="20730" windowHeight="11040" xr2:uid="{1DB4A353-9090-4A25-92A4-FC2160E45900}"/>
  </bookViews>
  <sheets>
    <sheet name="LaserProp" sheetId="1" r:id="rId1"/>
    <sheet name="Link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32" i="1" s="1"/>
  <c r="B30" i="1"/>
  <c r="B31" i="1"/>
  <c r="B34" i="1" l="1"/>
  <c r="J21" i="1"/>
  <c r="G23" i="1"/>
  <c r="G24" i="1" s="1"/>
  <c r="B22" i="1"/>
  <c r="G19" i="1" s="1"/>
  <c r="G18" i="1"/>
  <c r="G34" i="1" l="1"/>
  <c r="F35" i="1" s="1"/>
  <c r="G25" i="1"/>
  <c r="I23" i="1"/>
  <c r="G20" i="1"/>
</calcChain>
</file>

<file path=xl/sharedStrings.xml><?xml version="1.0" encoding="utf-8"?>
<sst xmlns="http://schemas.openxmlformats.org/spreadsheetml/2006/main" count="127" uniqueCount="72">
  <si>
    <t>Parameter</t>
  </si>
  <si>
    <t>Symbol</t>
  </si>
  <si>
    <t>Value</t>
  </si>
  <si>
    <t>Comment</t>
  </si>
  <si>
    <t>Beam divergence</t>
  </si>
  <si>
    <t>Beam spot</t>
  </si>
  <si>
    <t>Receiver FOV</t>
  </si>
  <si>
    <t>mrad</t>
  </si>
  <si>
    <t>º</t>
  </si>
  <si>
    <t>APE</t>
  </si>
  <si>
    <t>AKE</t>
  </si>
  <si>
    <t>NanoSat</t>
  </si>
  <si>
    <t>CubeSat</t>
  </si>
  <si>
    <t>SmallSat</t>
  </si>
  <si>
    <t>Coarse APE</t>
  </si>
  <si>
    <t>Coarse AKE</t>
  </si>
  <si>
    <t>Fine APE</t>
  </si>
  <si>
    <t>Fine AKE</t>
  </si>
  <si>
    <t>w_0</t>
  </si>
  <si>
    <t>z</t>
  </si>
  <si>
    <t>m</t>
  </si>
  <si>
    <t>F_0</t>
  </si>
  <si>
    <t>lambda</t>
  </si>
  <si>
    <t>Theta_0</t>
  </si>
  <si>
    <t>1-L/F_0</t>
  </si>
  <si>
    <t>Lambda_0</t>
  </si>
  <si>
    <t>2L/(kW_0^2)</t>
  </si>
  <si>
    <t>k</t>
  </si>
  <si>
    <t>W</t>
  </si>
  <si>
    <t>W_0*sqrt(Theta_0^2+Lambda_0^2)</t>
  </si>
  <si>
    <t>theta</t>
  </si>
  <si>
    <t>lambda/pi*w_0</t>
  </si>
  <si>
    <t>rad</t>
  </si>
  <si>
    <t>w(z)</t>
  </si>
  <si>
    <t>w_0+theta*z</t>
  </si>
  <si>
    <t>d</t>
  </si>
  <si>
    <t>2*r=2*theta*z</t>
  </si>
  <si>
    <t>500 km</t>
  </si>
  <si>
    <t>2000 km</t>
  </si>
  <si>
    <t>w(z, theta)</t>
  </si>
  <si>
    <t xml:space="preserve"> =</t>
  </si>
  <si>
    <t>w_LT^2</t>
  </si>
  <si>
    <t>w(z)^2 + 2.42*k^(7/6)*L^(11/6)*w_0^(-1/3)*C_n^2</t>
  </si>
  <si>
    <t>W_LT</t>
  </si>
  <si>
    <t>wind</t>
  </si>
  <si>
    <t>m/s</t>
  </si>
  <si>
    <t>C_n^2</t>
  </si>
  <si>
    <t>A</t>
  </si>
  <si>
    <t>m^(-2/3)</t>
  </si>
  <si>
    <t>P_tx</t>
  </si>
  <si>
    <t>pointing error</t>
  </si>
  <si>
    <t>tx loss</t>
  </si>
  <si>
    <t>aperture</t>
  </si>
  <si>
    <t>rx loss</t>
  </si>
  <si>
    <t>distance</t>
  </si>
  <si>
    <t>Transmitter</t>
  </si>
  <si>
    <t>Channel</t>
  </si>
  <si>
    <t>Receiver</t>
  </si>
  <si>
    <t>Power received</t>
  </si>
  <si>
    <t>mW</t>
  </si>
  <si>
    <t>Unit</t>
  </si>
  <si>
    <t>um</t>
  </si>
  <si>
    <t>dB</t>
  </si>
  <si>
    <t>beam width (FWHM)</t>
  </si>
  <si>
    <t>urad</t>
  </si>
  <si>
    <t>km</t>
  </si>
  <si>
    <t>uW</t>
  </si>
  <si>
    <t>Example 1</t>
  </si>
  <si>
    <t>Example 2</t>
  </si>
  <si>
    <t>beam diameter</t>
  </si>
  <si>
    <t>cm</t>
  </si>
  <si>
    <t>90º el, 90% conf.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</si>
</sst>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E+00"/>
    <numFmt numFmtId="173" formatCode="0.00000"/>
    <numFmt numFmtId="179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73" fontId="0" fillId="0" borderId="0" xfId="0" applyNumberFormat="1"/>
    <xf numFmtId="179" fontId="0" fillId="0" borderId="0" xfId="0" applyNumberFormat="1"/>
    <xf numFmtId="11" fontId="1" fillId="0" borderId="0" xfId="0" applyNumberFormat="1" applyFont="1"/>
    <xf numFmtId="0" fontId="1" fillId="0" borderId="0" xfId="0" applyFont="1"/>
    <xf numFmtId="167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11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227B-A9CC-4414-8C1D-C018D2E32FFD}">
  <dimension ref="A1:K36"/>
  <sheetViews>
    <sheetView tabSelected="1" topLeftCell="A10" zoomScaleNormal="100" workbookViewId="0">
      <selection activeCell="F35" sqref="F35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6" bestFit="1" customWidth="1"/>
    <col min="4" max="4" width="9.42578125" bestFit="1" customWidth="1"/>
    <col min="5" max="5" width="10" bestFit="1" customWidth="1"/>
    <col min="6" max="6" width="45.42578125" bestFit="1" customWidth="1"/>
    <col min="7" max="7" width="11.7109375" bestFit="1" customWidth="1"/>
    <col min="9" max="9" width="1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G2" t="s">
        <v>9</v>
      </c>
    </row>
    <row r="3" spans="1:11" x14ac:dyDescent="0.25">
      <c r="H3">
        <v>18</v>
      </c>
      <c r="I3" t="s">
        <v>7</v>
      </c>
      <c r="J3">
        <v>1</v>
      </c>
      <c r="K3" t="s">
        <v>8</v>
      </c>
    </row>
    <row r="4" spans="1:11" x14ac:dyDescent="0.25">
      <c r="H4">
        <v>10</v>
      </c>
      <c r="I4" t="s">
        <v>7</v>
      </c>
      <c r="J4">
        <v>0.5</v>
      </c>
      <c r="K4" t="s">
        <v>8</v>
      </c>
    </row>
    <row r="5" spans="1:11" x14ac:dyDescent="0.25">
      <c r="H5">
        <v>2</v>
      </c>
      <c r="I5" t="s">
        <v>7</v>
      </c>
      <c r="J5">
        <v>0.1</v>
      </c>
      <c r="K5" t="s">
        <v>8</v>
      </c>
    </row>
    <row r="6" spans="1:11" x14ac:dyDescent="0.25">
      <c r="G6" t="s">
        <v>10</v>
      </c>
      <c r="H6">
        <v>10</v>
      </c>
      <c r="I6" t="s">
        <v>7</v>
      </c>
      <c r="J6">
        <v>0.5</v>
      </c>
    </row>
    <row r="7" spans="1:11" x14ac:dyDescent="0.25">
      <c r="H7">
        <v>1</v>
      </c>
      <c r="I7" t="s">
        <v>7</v>
      </c>
      <c r="J7">
        <v>0.05</v>
      </c>
    </row>
    <row r="8" spans="1:11" x14ac:dyDescent="0.25">
      <c r="A8" t="s">
        <v>5</v>
      </c>
      <c r="H8">
        <v>0.1</v>
      </c>
      <c r="I8" t="s">
        <v>7</v>
      </c>
      <c r="J8">
        <v>5.0000000000000001E-3</v>
      </c>
    </row>
    <row r="10" spans="1:11" x14ac:dyDescent="0.25">
      <c r="H10" t="s">
        <v>11</v>
      </c>
      <c r="I10" t="s">
        <v>12</v>
      </c>
      <c r="J10" t="s">
        <v>13</v>
      </c>
    </row>
    <row r="11" spans="1:11" x14ac:dyDescent="0.25">
      <c r="G11" t="s">
        <v>14</v>
      </c>
      <c r="H11">
        <v>18</v>
      </c>
      <c r="I11">
        <v>10</v>
      </c>
      <c r="J11">
        <v>2</v>
      </c>
    </row>
    <row r="12" spans="1:11" x14ac:dyDescent="0.25">
      <c r="A12" t="s">
        <v>6</v>
      </c>
      <c r="G12" t="s">
        <v>15</v>
      </c>
      <c r="H12">
        <v>10</v>
      </c>
      <c r="I12">
        <v>1</v>
      </c>
      <c r="J12">
        <v>0.1</v>
      </c>
    </row>
    <row r="13" spans="1:11" x14ac:dyDescent="0.25">
      <c r="G13" t="s">
        <v>16</v>
      </c>
      <c r="H13">
        <v>1</v>
      </c>
      <c r="I13">
        <v>0.5</v>
      </c>
      <c r="J13">
        <v>0.2</v>
      </c>
    </row>
    <row r="14" spans="1:11" x14ac:dyDescent="0.25">
      <c r="G14" t="s">
        <v>17</v>
      </c>
    </row>
    <row r="18" spans="1:11" x14ac:dyDescent="0.25">
      <c r="A18" t="s">
        <v>18</v>
      </c>
      <c r="B18">
        <v>0.05</v>
      </c>
      <c r="C18" t="s">
        <v>20</v>
      </c>
      <c r="E18" t="s">
        <v>23</v>
      </c>
      <c r="F18" t="s">
        <v>24</v>
      </c>
      <c r="G18" s="1">
        <f>1-B19/B20</f>
        <v>-19</v>
      </c>
    </row>
    <row r="19" spans="1:11" x14ac:dyDescent="0.25">
      <c r="A19" s="5" t="s">
        <v>19</v>
      </c>
      <c r="B19" s="4">
        <v>10000</v>
      </c>
      <c r="C19" t="s">
        <v>20</v>
      </c>
      <c r="E19" t="s">
        <v>25</v>
      </c>
      <c r="F19" t="s">
        <v>26</v>
      </c>
      <c r="G19" s="1">
        <f>2*B19/(B22*B18^2)</f>
        <v>1.9735212943395017</v>
      </c>
    </row>
    <row r="20" spans="1:11" x14ac:dyDescent="0.25">
      <c r="A20" t="s">
        <v>21</v>
      </c>
      <c r="B20">
        <v>500</v>
      </c>
      <c r="C20" t="s">
        <v>20</v>
      </c>
      <c r="E20" t="s">
        <v>28</v>
      </c>
      <c r="F20" t="s">
        <v>29</v>
      </c>
      <c r="G20" s="1">
        <f>B18*SQRT(G18^2+G19^2)</f>
        <v>0.9551109703840851</v>
      </c>
      <c r="H20" t="s">
        <v>20</v>
      </c>
    </row>
    <row r="21" spans="1:11" x14ac:dyDescent="0.25">
      <c r="A21" t="s">
        <v>22</v>
      </c>
      <c r="B21" s="1">
        <v>1.55E-6</v>
      </c>
      <c r="C21" t="s">
        <v>20</v>
      </c>
      <c r="I21">
        <v>1</v>
      </c>
      <c r="J21">
        <f>I21*180/PI()</f>
        <v>57.295779513082323</v>
      </c>
    </row>
    <row r="22" spans="1:11" x14ac:dyDescent="0.25">
      <c r="A22" t="s">
        <v>27</v>
      </c>
      <c r="B22" s="1">
        <f>2*PI()/B21</f>
        <v>4053667.9401158621</v>
      </c>
    </row>
    <row r="23" spans="1:11" x14ac:dyDescent="0.25">
      <c r="B23" s="1"/>
      <c r="E23" t="s">
        <v>30</v>
      </c>
      <c r="F23" t="s">
        <v>31</v>
      </c>
      <c r="G23" s="4">
        <f>B21/(PI()*B18)</f>
        <v>9.8676064716975118E-6</v>
      </c>
      <c r="H23" s="5" t="s">
        <v>32</v>
      </c>
      <c r="I23" s="11">
        <f>G23*180/PI()</f>
        <v>5.6537220472424479E-4</v>
      </c>
      <c r="J23" t="s">
        <v>8</v>
      </c>
    </row>
    <row r="24" spans="1:11" x14ac:dyDescent="0.25">
      <c r="A24" t="s">
        <v>47</v>
      </c>
      <c r="B24" s="1">
        <f>50000/3600</f>
        <v>13.888888888888889</v>
      </c>
      <c r="E24" s="5" t="s">
        <v>33</v>
      </c>
      <c r="F24" s="5" t="s">
        <v>34</v>
      </c>
      <c r="G24" s="6">
        <f>B18+G23*B19</f>
        <v>0.14867606471697511</v>
      </c>
      <c r="H24" s="5" t="s">
        <v>20</v>
      </c>
    </row>
    <row r="25" spans="1:11" x14ac:dyDescent="0.25">
      <c r="E25" s="5" t="s">
        <v>35</v>
      </c>
      <c r="F25" s="5" t="s">
        <v>36</v>
      </c>
      <c r="G25" s="4">
        <f>G23*B19</f>
        <v>9.8676064716975112E-2</v>
      </c>
      <c r="H25" s="5" t="s">
        <v>20</v>
      </c>
    </row>
    <row r="26" spans="1:11" x14ac:dyDescent="0.25">
      <c r="A26" t="s">
        <v>44</v>
      </c>
      <c r="B26">
        <v>10</v>
      </c>
      <c r="C26" t="s">
        <v>45</v>
      </c>
    </row>
    <row r="28" spans="1:11" x14ac:dyDescent="0.25">
      <c r="E28" t="s">
        <v>30</v>
      </c>
      <c r="F28" t="s">
        <v>31</v>
      </c>
      <c r="G28" s="1">
        <v>4.9338032358487554E-5</v>
      </c>
      <c r="H28" t="s">
        <v>32</v>
      </c>
      <c r="I28" t="s">
        <v>40</v>
      </c>
      <c r="J28" s="2">
        <v>2.8268610236212243E-3</v>
      </c>
      <c r="K28" t="s">
        <v>8</v>
      </c>
    </row>
    <row r="29" spans="1:11" x14ac:dyDescent="0.25">
      <c r="A29" s="5" t="s">
        <v>46</v>
      </c>
      <c r="F29" s="1"/>
    </row>
    <row r="30" spans="1:11" x14ac:dyDescent="0.25">
      <c r="B30" s="1">
        <f>0.00594*((B26/27)^2)*((0.00001)*B19)^10*EXP(-B19/1000)</f>
        <v>3.6992535362024728E-18</v>
      </c>
      <c r="E30" t="s">
        <v>19</v>
      </c>
      <c r="F30" t="s">
        <v>39</v>
      </c>
    </row>
    <row r="31" spans="1:11" x14ac:dyDescent="0.25">
      <c r="B31" s="1">
        <f>(2.7*0.0000000000000001)*EXP(-B19/1500)</f>
        <v>3.4361112636174813E-19</v>
      </c>
      <c r="E31" t="s">
        <v>37</v>
      </c>
      <c r="F31" s="3">
        <v>24.679016179243778</v>
      </c>
      <c r="G31" t="s">
        <v>20</v>
      </c>
    </row>
    <row r="32" spans="1:11" x14ac:dyDescent="0.25">
      <c r="B32" s="1">
        <f>B24*EXP(-B19/100)</f>
        <v>5.1667721889178284E-43</v>
      </c>
      <c r="E32" t="s">
        <v>38</v>
      </c>
      <c r="F32" s="3">
        <v>98.68606471697511</v>
      </c>
      <c r="G32" t="s">
        <v>20</v>
      </c>
    </row>
    <row r="34" spans="1:7" x14ac:dyDescent="0.25">
      <c r="A34" s="5" t="s">
        <v>46</v>
      </c>
      <c r="B34" s="4">
        <f>B30+B31+B32</f>
        <v>4.0428646625642213E-18</v>
      </c>
      <c r="C34" t="s">
        <v>48</v>
      </c>
      <c r="E34" t="s">
        <v>41</v>
      </c>
      <c r="F34" t="s">
        <v>42</v>
      </c>
      <c r="G34" s="1">
        <f>G24^2+2.42*B22^(7/6)*B19^(11/6)*B18^(-1/3)*B34</f>
        <v>5.1391294329794335E-2</v>
      </c>
    </row>
    <row r="35" spans="1:7" x14ac:dyDescent="0.25">
      <c r="E35" t="s">
        <v>43</v>
      </c>
      <c r="F35" s="6">
        <f>SQRT(G34)</f>
        <v>0.22669648062948472</v>
      </c>
      <c r="G35" s="5" t="s">
        <v>20</v>
      </c>
    </row>
    <row r="36" spans="1:7" x14ac:dyDescent="0.25">
      <c r="F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3D51-5CF9-4187-B512-8C90D475881A}">
  <dimension ref="A1:F26"/>
  <sheetViews>
    <sheetView workbookViewId="0">
      <selection activeCell="A17" sqref="A17:D26"/>
    </sheetView>
  </sheetViews>
  <sheetFormatPr defaultRowHeight="15" x14ac:dyDescent="0.25"/>
  <cols>
    <col min="1" max="1" width="11.140625" bestFit="1" customWidth="1"/>
    <col min="2" max="2" width="13.140625" bestFit="1" customWidth="1"/>
  </cols>
  <sheetData>
    <row r="1" spans="1:6" x14ac:dyDescent="0.25">
      <c r="A1" t="s">
        <v>67</v>
      </c>
    </row>
    <row r="3" spans="1:6" x14ac:dyDescent="0.25">
      <c r="A3" s="7"/>
      <c r="B3" s="8" t="s">
        <v>0</v>
      </c>
      <c r="C3" s="8" t="s">
        <v>2</v>
      </c>
      <c r="D3" s="8" t="s">
        <v>60</v>
      </c>
    </row>
    <row r="4" spans="1:6" x14ac:dyDescent="0.25">
      <c r="A4" s="5" t="s">
        <v>55</v>
      </c>
      <c r="B4" t="s">
        <v>49</v>
      </c>
      <c r="C4">
        <v>100</v>
      </c>
      <c r="D4" t="s">
        <v>59</v>
      </c>
    </row>
    <row r="5" spans="1:6" x14ac:dyDescent="0.25">
      <c r="A5" s="5"/>
      <c r="B5" t="s">
        <v>22</v>
      </c>
      <c r="C5">
        <v>1.55</v>
      </c>
      <c r="D5" t="s">
        <v>61</v>
      </c>
    </row>
    <row r="6" spans="1:6" x14ac:dyDescent="0.25">
      <c r="A6" s="5"/>
      <c r="B6" t="s">
        <v>63</v>
      </c>
      <c r="C6" s="1">
        <v>15</v>
      </c>
      <c r="D6" t="s">
        <v>64</v>
      </c>
    </row>
    <row r="7" spans="1:6" x14ac:dyDescent="0.25">
      <c r="A7" s="5"/>
      <c r="B7" t="s">
        <v>50</v>
      </c>
      <c r="C7">
        <v>10</v>
      </c>
      <c r="D7" t="s">
        <v>64</v>
      </c>
    </row>
    <row r="8" spans="1:6" x14ac:dyDescent="0.25">
      <c r="A8" s="5"/>
      <c r="B8" t="s">
        <v>51</v>
      </c>
      <c r="C8">
        <v>1</v>
      </c>
      <c r="D8" t="s">
        <v>62</v>
      </c>
    </row>
    <row r="9" spans="1:6" x14ac:dyDescent="0.25">
      <c r="A9" s="9" t="s">
        <v>56</v>
      </c>
      <c r="B9" s="9" t="s">
        <v>54</v>
      </c>
      <c r="C9" s="9">
        <v>500</v>
      </c>
      <c r="D9" s="9" t="s">
        <v>65</v>
      </c>
      <c r="E9" s="9">
        <v>2000</v>
      </c>
      <c r="F9" s="9" t="s">
        <v>65</v>
      </c>
    </row>
    <row r="10" spans="1:6" x14ac:dyDescent="0.25">
      <c r="A10" s="5" t="s">
        <v>57</v>
      </c>
      <c r="B10" t="s">
        <v>52</v>
      </c>
      <c r="C10">
        <v>0.1</v>
      </c>
      <c r="D10" t="s">
        <v>20</v>
      </c>
      <c r="E10">
        <v>0.1</v>
      </c>
      <c r="F10" t="s">
        <v>20</v>
      </c>
    </row>
    <row r="11" spans="1:6" x14ac:dyDescent="0.25">
      <c r="A11" s="5"/>
      <c r="B11" t="s">
        <v>53</v>
      </c>
      <c r="C11">
        <v>3</v>
      </c>
      <c r="D11" t="s">
        <v>62</v>
      </c>
      <c r="E11">
        <v>3</v>
      </c>
      <c r="F11" t="s">
        <v>62</v>
      </c>
    </row>
    <row r="12" spans="1:6" x14ac:dyDescent="0.25">
      <c r="A12" s="7"/>
      <c r="B12" s="8" t="s">
        <v>58</v>
      </c>
      <c r="C12" s="8">
        <v>1.431</v>
      </c>
      <c r="D12" s="8" t="s">
        <v>66</v>
      </c>
      <c r="E12" s="8">
        <v>8.8999999999999996E-2</v>
      </c>
      <c r="F12" s="8" t="s">
        <v>66</v>
      </c>
    </row>
    <row r="15" spans="1:6" x14ac:dyDescent="0.25">
      <c r="A15" t="s">
        <v>68</v>
      </c>
    </row>
    <row r="17" spans="1:4" x14ac:dyDescent="0.25">
      <c r="A17" s="7"/>
      <c r="B17" s="8" t="s">
        <v>0</v>
      </c>
      <c r="C17" s="8" t="s">
        <v>2</v>
      </c>
      <c r="D17" s="8" t="s">
        <v>60</v>
      </c>
    </row>
    <row r="18" spans="1:4" x14ac:dyDescent="0.25">
      <c r="A18" s="5" t="s">
        <v>55</v>
      </c>
      <c r="B18" t="s">
        <v>49</v>
      </c>
      <c r="C18">
        <v>100</v>
      </c>
      <c r="D18" t="s">
        <v>59</v>
      </c>
    </row>
    <row r="19" spans="1:4" x14ac:dyDescent="0.25">
      <c r="A19" s="5"/>
      <c r="B19" t="s">
        <v>22</v>
      </c>
      <c r="C19">
        <v>1.55</v>
      </c>
      <c r="D19" t="s">
        <v>61</v>
      </c>
    </row>
    <row r="20" spans="1:4" x14ac:dyDescent="0.25">
      <c r="A20" s="5"/>
      <c r="B20" t="s">
        <v>69</v>
      </c>
      <c r="C20">
        <v>1</v>
      </c>
      <c r="D20" t="s">
        <v>70</v>
      </c>
    </row>
    <row r="21" spans="1:4" x14ac:dyDescent="0.25">
      <c r="A21" s="5"/>
      <c r="B21" t="s">
        <v>50</v>
      </c>
      <c r="C21">
        <v>10</v>
      </c>
      <c r="D21" t="s">
        <v>64</v>
      </c>
    </row>
    <row r="22" spans="1:4" x14ac:dyDescent="0.25">
      <c r="A22" s="5"/>
      <c r="B22" t="s">
        <v>51</v>
      </c>
      <c r="C22">
        <v>1</v>
      </c>
      <c r="D22" t="s">
        <v>62</v>
      </c>
    </row>
    <row r="23" spans="1:4" x14ac:dyDescent="0.25">
      <c r="A23" s="9" t="s">
        <v>56</v>
      </c>
      <c r="B23" s="9" t="s">
        <v>54</v>
      </c>
      <c r="C23" s="9">
        <v>500</v>
      </c>
      <c r="D23" s="9" t="s">
        <v>65</v>
      </c>
    </row>
    <row r="24" spans="1:4" x14ac:dyDescent="0.25">
      <c r="A24" s="5" t="s">
        <v>57</v>
      </c>
      <c r="B24" t="s">
        <v>52</v>
      </c>
      <c r="C24">
        <v>0.1</v>
      </c>
      <c r="D24" t="s">
        <v>20</v>
      </c>
    </row>
    <row r="25" spans="1:4" x14ac:dyDescent="0.25">
      <c r="A25" s="5"/>
      <c r="B25" t="s">
        <v>53</v>
      </c>
      <c r="C25">
        <v>3</v>
      </c>
      <c r="D25" t="s">
        <v>62</v>
      </c>
    </row>
    <row r="26" spans="1:4" x14ac:dyDescent="0.25">
      <c r="A26" s="8" t="s">
        <v>71</v>
      </c>
      <c r="B26" s="8" t="s">
        <v>58</v>
      </c>
      <c r="C26" s="10">
        <v>3.3500000000000002E-7</v>
      </c>
      <c r="D26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LaserProp</vt:lpstr>
      <vt:lpstr>LinkBudget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Romano - LusoSpace</dc:creator>
  <cp:lastModifiedBy>Carlos Romano - LusoSpace</cp:lastModifiedBy>
  <dcterms:created xsi:type="dcterms:W3CDTF">2025-10-28T17:34:01Z</dcterms:created>
  <dcterms:modified xsi:type="dcterms:W3CDTF">2025-10-29T23:57:06Z</dcterms:modified>
</cp:coreProperties>
</file>